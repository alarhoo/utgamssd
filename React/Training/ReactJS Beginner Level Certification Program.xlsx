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Manjunath\React\Training\"/>
    </mc:Choice>
  </mc:AlternateContent>
  <xr:revisionPtr revIDLastSave="0" documentId="13_ncr:1_{120EF8FE-3EA8-4459-B311-82F5E2613708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Responses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H5" i="2" s="1"/>
  <c r="G6" i="2"/>
  <c r="G7" i="2"/>
  <c r="G8" i="2"/>
  <c r="G9" i="2"/>
  <c r="H9" i="2" s="1"/>
  <c r="G10" i="2"/>
  <c r="G11" i="2"/>
  <c r="H11" i="2" s="1"/>
  <c r="G12" i="2"/>
  <c r="G13" i="2"/>
  <c r="G3" i="2"/>
  <c r="E4" i="2"/>
  <c r="E5" i="2"/>
  <c r="E7" i="2"/>
  <c r="E9" i="2"/>
  <c r="E10" i="2"/>
  <c r="E11" i="2"/>
  <c r="E12" i="2"/>
  <c r="D13" i="2"/>
  <c r="E13" i="2" s="1"/>
  <c r="D12" i="2"/>
  <c r="D10" i="2"/>
  <c r="D8" i="2"/>
  <c r="E8" i="2" s="1"/>
  <c r="D6" i="2"/>
  <c r="E6" i="2" s="1"/>
  <c r="E3" i="2"/>
  <c r="B7" i="2"/>
  <c r="C7" i="2" s="1"/>
  <c r="H7" i="2" s="1"/>
  <c r="B6" i="2"/>
  <c r="C6" i="2" s="1"/>
  <c r="B12" i="2"/>
  <c r="C12" i="2" s="1"/>
  <c r="H12" i="2" s="1"/>
  <c r="B13" i="2"/>
  <c r="C13" i="2" s="1"/>
  <c r="H13" i="2" s="1"/>
  <c r="B11" i="2"/>
  <c r="C11" i="2" s="1"/>
  <c r="B10" i="2"/>
  <c r="C10" i="2" s="1"/>
  <c r="H10" i="2" s="1"/>
  <c r="B9" i="2"/>
  <c r="C9" i="2" s="1"/>
  <c r="B8" i="2"/>
  <c r="C8" i="2" s="1"/>
  <c r="H8" i="2" s="1"/>
  <c r="B5" i="2"/>
  <c r="C5" i="2" s="1"/>
  <c r="B4" i="2"/>
  <c r="C4" i="2" s="1"/>
  <c r="H4" i="2" s="1"/>
  <c r="B3" i="2"/>
  <c r="C3" i="2" s="1"/>
  <c r="H3" i="2" s="1"/>
  <c r="H6" i="2" l="1"/>
</calcChain>
</file>

<file path=xl/sharedStrings.xml><?xml version="1.0" encoding="utf-8"?>
<sst xmlns="http://schemas.openxmlformats.org/spreadsheetml/2006/main" count="406" uniqueCount="159">
  <si>
    <t>ID</t>
  </si>
  <si>
    <t>Start time</t>
  </si>
  <si>
    <t>Completion time</t>
  </si>
  <si>
    <t>Email</t>
  </si>
  <si>
    <t>Name</t>
  </si>
  <si>
    <t>Everything in React is a _______________</t>
  </si>
  <si>
    <t>React is _________________</t>
  </si>
  <si>
    <t>What are the two ways that data gets handled in React?</t>
  </si>
  <si>
    <t>What is Virtual DOM?</t>
  </si>
  <si>
    <t>What is ReactJS?</t>
  </si>
  <si>
    <t>JSX syntax is mandatory while build React applications.</t>
  </si>
  <si>
    <t>How are props accessed in a Class component?</t>
  </si>
  <si>
    <t>How are 'states' accessed in Functional components?</t>
  </si>
  <si>
    <t>Hooks only work in Functional components.</t>
  </si>
  <si>
    <t>useEffect Hook is equivalent to what life cycle methods in Class components?</t>
  </si>
  <si>
    <t>How do we run useEffect() hook only once?</t>
  </si>
  <si>
    <t>useContext hook accepts a _____ object and returns the ______ value for that context.</t>
  </si>
  <si>
    <t>Arrange the steps involved while using useContext() hook.</t>
  </si>
  <si>
    <t>What are true about 'state' in React?</t>
  </si>
  <si>
    <t>What is the benefit of using 'key' prop in arrays of elements?</t>
  </si>
  <si>
    <t>The Virtual DOM (VDOM) is an in-memory representation of Real DOM.</t>
  </si>
  <si>
    <t>Why React uses className over class attribute?</t>
  </si>
  <si>
    <t>Are functional components stateless components?</t>
  </si>
  <si>
    <t>Which method is used to render a React element into the DOM?</t>
  </si>
  <si>
    <t>How can we use styles in React? (2 right answers)</t>
  </si>
  <si>
    <t>Data flow direction in React?</t>
  </si>
  <si>
    <t>React is developed and maintained by ______.</t>
  </si>
  <si>
    <t>Which of the below syntax is correct for creating a simple functional component?</t>
  </si>
  <si>
    <t>Which React hook returns the location object that represents the current URL?</t>
  </si>
  <si>
    <t>What is the use of useHistory() hook?</t>
  </si>
  <si>
    <t>Which hook do you use to fetch data from APIs?</t>
  </si>
  <si>
    <t>Do browsers understand JSX code?</t>
  </si>
  <si>
    <t>What are events called in React?</t>
  </si>
  <si>
    <t>What does &lt;Switch&gt; component do in react-router-dom?</t>
  </si>
  <si>
    <t>Write a simple functional component to print your name in &lt;p&gt; tag which is passed as props to it.</t>
  </si>
  <si>
    <t>ankit.garg@utegration.com</t>
  </si>
  <si>
    <t>Ankit Garg</t>
  </si>
  <si>
    <t>Component</t>
  </si>
  <si>
    <t>Component-Based and Declarative</t>
  </si>
  <si>
    <t>state &amp; props</t>
  </si>
  <si>
    <t>Both A &amp; C</t>
  </si>
  <si>
    <t>All of the above</t>
  </si>
  <si>
    <t>False</t>
  </si>
  <si>
    <t>this.props</t>
  </si>
  <si>
    <t>using useState() hook</t>
  </si>
  <si>
    <t>True</t>
  </si>
  <si>
    <t>componentDidMount()</t>
  </si>
  <si>
    <t>pass an empty array ([]) as a second argument</t>
  </si>
  <si>
    <t>context and state</t>
  </si>
  <si>
    <t>Create a context;Provide context a value;Consume context value;</t>
  </si>
  <si>
    <t>State is an object that holds some information;State may change over the lifetime of the component;States are inputs to components;</t>
  </si>
  <si>
    <t>None of the above</t>
  </si>
  <si>
    <t>class represents an object in JavaScript</t>
  </si>
  <si>
    <t>Yes</t>
  </si>
  <si>
    <t>ReactDOM.renderElement()</t>
  </si>
  <si>
    <t>pass CSS classes to className attribute;pass CSS classes to style attribute;</t>
  </si>
  <si>
    <t>Unidirectional data flow</t>
  </si>
  <si>
    <t>Facebook</t>
  </si>
  <si>
    <t>export const SimpleFunComponent = () =&gt; "Hello World!";</t>
  </si>
  <si>
    <t>useRouteMatch()</t>
  </si>
  <si>
    <t>gives you access to the history instance that you may use to navigate.</t>
  </si>
  <si>
    <t>useFetch()</t>
  </si>
  <si>
    <t>DOM Events</t>
  </si>
  <si>
    <t>Provides declarative, accessible navigation around your application.</t>
  </si>
  <si>
    <t>jyoti.bhagat@utegration.com</t>
  </si>
  <si>
    <t>Jyoti Bhagat</t>
  </si>
  <si>
    <t>User-interface framework</t>
  </si>
  <si>
    <t>this.props.value</t>
  </si>
  <si>
    <t>call the useEffect() function at the top of functional component</t>
  </si>
  <si>
    <t>States get passed to the component similar to function parameters;State may change over the lifetime of the component;</t>
  </si>
  <si>
    <t>Key prop helps React identify which items have added.</t>
  </si>
  <si>
    <t>class is a keyword in JavaScript</t>
  </si>
  <si>
    <t>pass CSS classes to style attribute;pass CSS classes to className attribute;</t>
  </si>
  <si>
    <t>Two-way data flow</t>
  </si>
  <si>
    <t>No</t>
  </si>
  <si>
    <t>Synthetic Events</t>
  </si>
  <si>
    <t xml:space="preserve">Rendering a &lt;Switch&gt; will navigate to a new location. </t>
  </si>
  <si>
    <t>shubham.annadate@utegration.com</t>
  </si>
  <si>
    <t>Function</t>
  </si>
  <si>
    <t>Imperative and Component-Based</t>
  </si>
  <si>
    <t>state &amp; components</t>
  </si>
  <si>
    <t>The tree structure of the HTML document</t>
  </si>
  <si>
    <t>A Library for building interaction interfaces</t>
  </si>
  <si>
    <t>componentWillUnmount()</t>
  </si>
  <si>
    <t>pass an empty object ({}) as a second argument</t>
  </si>
  <si>
    <t xml:space="preserve">context and current context </t>
  </si>
  <si>
    <t>Provide context a value;Create a context;Consume context value;</t>
  </si>
  <si>
    <t>States are inputs to components;State may change over the lifetime of the component;</t>
  </si>
  <si>
    <t>pass a JavaScript object with camelCased properties to style attribute;pass CSS classes to style attribute;</t>
  </si>
  <si>
    <t>One time data flow</t>
  </si>
  <si>
    <t>Amazon</t>
  </si>
  <si>
    <t>useLocation()</t>
  </si>
  <si>
    <t>useContext()</t>
  </si>
  <si>
    <t>Browser Events</t>
  </si>
  <si>
    <t xml:space="preserve">Renders the first child &lt;Route&gt; or &lt;Redirect&gt; that matches the location. </t>
  </si>
  <si>
    <t>function Welcome(props) {   return &lt;h1&gt;Shubham, {props.name}&lt;/h1&gt;; }</t>
  </si>
  <si>
    <t>madhusudan.dantham@utegration.com</t>
  </si>
  <si>
    <t>State may change over the lifetime of the component;</t>
  </si>
  <si>
    <t>Maybe</t>
  </si>
  <si>
    <t>React.render()</t>
  </si>
  <si>
    <t>One-way data flow</t>
  </si>
  <si>
    <t>const name = (props) =&gt; {    return &lt;p&gt;Hello, {props.name}&lt;/p&gt;;  }</t>
  </si>
  <si>
    <t>vinay.suneja@utegration.com</t>
  </si>
  <si>
    <t>Vinay Suneja</t>
  </si>
  <si>
    <t>Class</t>
  </si>
  <si>
    <t>via this.state</t>
  </si>
  <si>
    <t>componentDidUpdate()</t>
  </si>
  <si>
    <t>call the useEffect() function only once</t>
  </si>
  <si>
    <t>context and previous context</t>
  </si>
  <si>
    <t>Consume context value;Create a context;Provide context a value;</t>
  </si>
  <si>
    <t>React.renderElement()</t>
  </si>
  <si>
    <t>pass CSS classes to style attribute;pass a JavaScript object with camelCased properties to className attribute;</t>
  </si>
  <si>
    <t xml:space="preserve">attempts to match the current URL in the same way that a </t>
  </si>
  <si>
    <t>JavaScript Events</t>
  </si>
  <si>
    <t xml:space="preserve"> function Welcome(props) {   return &lt;p&gt;Hello, {props.name}&lt;/p&gt;; }</t>
  </si>
  <si>
    <t>nikhil.hari@utegration.com</t>
  </si>
  <si>
    <t>JavaScript representation of the DOM</t>
  </si>
  <si>
    <t>props</t>
  </si>
  <si>
    <t>State is an object that holds some information;State may change over the lifetime of the component;</t>
  </si>
  <si>
    <t>ReactDOM.render()</t>
  </si>
  <si>
    <t>pass CSS classes to className attribute;pass a JavaScript object with camelCased properties to style attribute;</t>
  </si>
  <si>
    <t>useState()</t>
  </si>
  <si>
    <t>import React from 'react';  export default function Name(props) { return (&lt;p&gt;{props.name}&lt;/p&gt;); }</t>
  </si>
  <si>
    <t>piyush.mishra@utegration.com</t>
  </si>
  <si>
    <t>Piyush Mishra</t>
  </si>
  <si>
    <t>Server side Framework</t>
  </si>
  <si>
    <t>pass a JavaScript object with camelCased properties to className attribute;pass CSS classes to className attribute;</t>
  </si>
  <si>
    <t>export const SimpleFunComponent =&gt; "Hello World!";</t>
  </si>
  <si>
    <t>martin.augustine@utegration.com</t>
  </si>
  <si>
    <t>useEffect()</t>
  </si>
  <si>
    <t>Specifies a route in the application</t>
  </si>
  <si>
    <t>function Name(props) {   return &lt;div&gt;&lt;p&gt;{props.name}&lt;/p&gt;&lt;/div&gt; }</t>
  </si>
  <si>
    <t>dinesh.unnikrishnan@utegration.com</t>
  </si>
  <si>
    <t>API for HTML and XML documents</t>
  </si>
  <si>
    <t>className is a keyword in JavaScript</t>
  </si>
  <si>
    <t>const SimpleFunComponent = () =&gt; "Hello World!";</t>
  </si>
  <si>
    <t>useHistory()</t>
  </si>
  <si>
    <t>get the location object that represents the current URL.</t>
  </si>
  <si>
    <t>function Name(){ return (  &lt;p&gt;Dinesh Unnikrishnan &lt;/p&gt; ) }</t>
  </si>
  <si>
    <t>gopinath.mani@utegration.com</t>
  </si>
  <si>
    <t>via this.state.value</t>
  </si>
  <si>
    <t>State is an object that holds some information;</t>
  </si>
  <si>
    <t>function print() {  return( &lt;div ClassName="print"&gt;&lt;p&gt; { Gopi } &lt;p&gt; &lt;div&gt;}</t>
  </si>
  <si>
    <t>ashwin.narayan@utegration.com</t>
  </si>
  <si>
    <t>Ashwin Narayan</t>
  </si>
  <si>
    <t>State may change over the lifetime of the component;State is an object that holds some information;</t>
  </si>
  <si>
    <t>function displayName() {   return (     &lt;div&gt; 	&lt;p&gt;Ashwin.&lt;/p&gt;     &lt;/div&gt;   ); }  export default displayName;</t>
  </si>
  <si>
    <t>Marks</t>
  </si>
  <si>
    <t>Shubham Annadate</t>
  </si>
  <si>
    <t>Madhusudan Dantham</t>
  </si>
  <si>
    <t>Nikhil Hari</t>
  </si>
  <si>
    <t>Martin Augustine</t>
  </si>
  <si>
    <t>Dinesh Unnikrishnan</t>
  </si>
  <si>
    <t>Gopinath Mani</t>
  </si>
  <si>
    <t>%</t>
  </si>
  <si>
    <t>Level 1</t>
  </si>
  <si>
    <t>Level 2</t>
  </si>
  <si>
    <t>Level 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</si>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</sst>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1" fillId="2" borderId="1" xfId="0" applyNumberFormat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12" totalsRowShown="0">
  <autoFilter ref="A1:AI12" xr:uid="{00000000-0009-0000-0100-000001000000}"/>
  <tableColumns count="35">
    <tableColumn id="1" xr3:uid="{00000000-0010-0000-0000-000001000000}" name="ID" dataDxfId="47"/>
    <tableColumn id="2" xr3:uid="{00000000-0010-0000-0000-000002000000}" name="Start time" dataDxfId="46"/>
    <tableColumn id="3" xr3:uid="{00000000-0010-0000-0000-000003000000}" name="Completion time" dataDxfId="45"/>
    <tableColumn id="4" xr3:uid="{00000000-0010-0000-0000-000004000000}" name="Email" dataDxfId="44"/>
    <tableColumn id="5" xr3:uid="{00000000-0010-0000-0000-000005000000}" name="Name" dataDxfId="43"/>
    <tableColumn id="6" xr3:uid="{00000000-0010-0000-0000-000006000000}" name="Everything in React is a _______________" dataDxfId="42"/>
    <tableColumn id="7" xr3:uid="{00000000-0010-0000-0000-000007000000}" name="React is _________________" dataDxfId="41"/>
    <tableColumn id="8" xr3:uid="{00000000-0010-0000-0000-000008000000}" name="What are the two ways that data gets handled in React?" dataDxfId="40"/>
    <tableColumn id="9" xr3:uid="{00000000-0010-0000-0000-000009000000}" name="What is Virtual DOM?" dataDxfId="39"/>
    <tableColumn id="10" xr3:uid="{00000000-0010-0000-0000-00000A000000}" name="What is ReactJS?" dataDxfId="38"/>
    <tableColumn id="11" xr3:uid="{00000000-0010-0000-0000-00000B000000}" name="JSX syntax is mandatory while build React applications." dataDxfId="37"/>
    <tableColumn id="12" xr3:uid="{00000000-0010-0000-0000-00000C000000}" name="How are props accessed in a Class component?" dataDxfId="36"/>
    <tableColumn id="13" xr3:uid="{00000000-0010-0000-0000-00000D000000}" name="How are 'states' accessed in Functional components?" dataDxfId="35"/>
    <tableColumn id="14" xr3:uid="{00000000-0010-0000-0000-00000E000000}" name="Hooks only work in Functional components." dataDxfId="34"/>
    <tableColumn id="15" xr3:uid="{00000000-0010-0000-0000-00000F000000}" name="useEffect Hook is equivalent to what life cycle methods in Class components?" dataDxfId="33"/>
    <tableColumn id="16" xr3:uid="{00000000-0010-0000-0000-000010000000}" name="How do we run useEffect() hook only once?" dataDxfId="32"/>
    <tableColumn id="17" xr3:uid="{00000000-0010-0000-0000-000011000000}" name="useContext hook accepts a _____ object and returns the ______ value for that context." dataDxfId="31"/>
    <tableColumn id="18" xr3:uid="{00000000-0010-0000-0000-000012000000}" name="Arrange the steps involved while using useContext() hook." dataDxfId="30"/>
    <tableColumn id="19" xr3:uid="{00000000-0010-0000-0000-000013000000}" name="What are true about 'state' in React?" dataDxfId="29"/>
    <tableColumn id="20" xr3:uid="{00000000-0010-0000-0000-000014000000}" name="What is the benefit of using 'key' prop in arrays of elements?" dataDxfId="28"/>
    <tableColumn id="21" xr3:uid="{00000000-0010-0000-0000-000015000000}" name="The Virtual DOM (VDOM) is an in-memory representation of Real DOM." dataDxfId="27"/>
    <tableColumn id="22" xr3:uid="{00000000-0010-0000-0000-000016000000}" name="Why React uses className over class attribute?" dataDxfId="26"/>
    <tableColumn id="23" xr3:uid="{00000000-0010-0000-0000-000017000000}" name="Are functional components stateless components?" dataDxfId="25"/>
    <tableColumn id="24" xr3:uid="{00000000-0010-0000-0000-000018000000}" name="Which method is used to render a React element into the DOM?" dataDxfId="24"/>
    <tableColumn id="25" xr3:uid="{00000000-0010-0000-0000-000019000000}" name="How can we use styles in React? (2 right answers)" dataDxfId="23"/>
    <tableColumn id="26" xr3:uid="{00000000-0010-0000-0000-00001A000000}" name="Data flow direction in React?" dataDxfId="22"/>
    <tableColumn id="27" xr3:uid="{00000000-0010-0000-0000-00001B000000}" name="React is developed and maintained by ______." dataDxfId="21"/>
    <tableColumn id="28" xr3:uid="{00000000-0010-0000-0000-00001C000000}" name="Which of the below syntax is correct for creating a simple functional component?" dataDxfId="20"/>
    <tableColumn id="29" xr3:uid="{00000000-0010-0000-0000-00001D000000}" name="Which React hook returns the location object that represents the current URL?" dataDxfId="19"/>
    <tableColumn id="30" xr3:uid="{00000000-0010-0000-0000-00001E000000}" name="What is the use of useHistory() hook?" dataDxfId="18"/>
    <tableColumn id="31" xr3:uid="{00000000-0010-0000-0000-00001F000000}" name="Which hook do you use to fetch data from APIs?" dataDxfId="17"/>
    <tableColumn id="32" xr3:uid="{00000000-0010-0000-0000-000020000000}" name="Do browsers understand JSX code?" dataDxfId="16"/>
    <tableColumn id="33" xr3:uid="{00000000-0010-0000-0000-000021000000}" name="What are events called in React?" dataDxfId="15"/>
    <tableColumn id="34" xr3:uid="{00000000-0010-0000-0000-000022000000}" name="What does &lt;Switch&gt; component do in react-router-dom?" dataDxfId="14"/>
    <tableColumn id="35" xr3:uid="{00000000-0010-0000-0000-000023000000}" name="Write a simple functional component to print your name in &lt;p&gt; tag which is passed as props to it.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"/>
  <sheetViews>
    <sheetView workbookViewId="0">
      <pane xSplit="5" ySplit="1" topLeftCell="Y2" activePane="bottomRight" state="frozen"/>
      <selection pane="topRight" activeCell="F1" sqref="F1"/>
      <selection pane="bottomLeft" activeCell="A2" sqref="A2"/>
      <selection pane="bottomRight" activeCell="Y5" sqref="Y5"/>
    </sheetView>
  </sheetViews>
  <sheetFormatPr defaultRowHeight="15" x14ac:dyDescent="0.25"/>
  <cols>
    <col min="1" max="1" width="5.140625" bestFit="1" customWidth="1"/>
    <col min="2" max="2" width="9.85546875" customWidth="1"/>
    <col min="3" max="3" width="8" customWidth="1"/>
    <col min="4" max="6" width="20" bestFit="1" customWidth="1"/>
    <col min="7" max="7" width="30.85546875" customWidth="1"/>
    <col min="8" max="35" width="20" bestFit="1" customWidth="1"/>
  </cols>
  <sheetData>
    <row r="1" spans="1:3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>
        <v>1</v>
      </c>
      <c r="B2" s="1">
        <v>44414.625173611101</v>
      </c>
      <c r="C2" s="1">
        <v>44414.629849536999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45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  <c r="AF2" s="2" t="s">
        <v>53</v>
      </c>
      <c r="AG2" s="2" t="s">
        <v>62</v>
      </c>
      <c r="AH2" s="2" t="s">
        <v>63</v>
      </c>
      <c r="AI2" s="2"/>
    </row>
    <row r="3" spans="1:35" x14ac:dyDescent="0.25">
      <c r="A3">
        <v>2</v>
      </c>
      <c r="B3" s="1">
        <v>44414.625636574099</v>
      </c>
      <c r="C3" s="1">
        <v>44414.631481481498</v>
      </c>
      <c r="D3" s="2" t="s">
        <v>64</v>
      </c>
      <c r="E3" s="2" t="s">
        <v>65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66</v>
      </c>
      <c r="K3" s="2" t="s">
        <v>42</v>
      </c>
      <c r="L3" s="2" t="s">
        <v>67</v>
      </c>
      <c r="M3" s="2" t="s">
        <v>44</v>
      </c>
      <c r="N3" s="2" t="s">
        <v>45</v>
      </c>
      <c r="O3" s="2" t="s">
        <v>46</v>
      </c>
      <c r="P3" s="2" t="s">
        <v>68</v>
      </c>
      <c r="Q3" s="2" t="s">
        <v>48</v>
      </c>
      <c r="R3" s="2" t="s">
        <v>49</v>
      </c>
      <c r="S3" s="2" t="s">
        <v>69</v>
      </c>
      <c r="T3" s="2" t="s">
        <v>70</v>
      </c>
      <c r="U3" s="2" t="s">
        <v>42</v>
      </c>
      <c r="V3" s="2" t="s">
        <v>71</v>
      </c>
      <c r="W3" s="2" t="s">
        <v>53</v>
      </c>
      <c r="X3" s="2" t="s">
        <v>54</v>
      </c>
      <c r="Y3" s="2" t="s">
        <v>72</v>
      </c>
      <c r="Z3" s="2" t="s">
        <v>73</v>
      </c>
      <c r="AA3" s="2" t="s">
        <v>57</v>
      </c>
      <c r="AB3" s="2" t="s">
        <v>58</v>
      </c>
      <c r="AC3" s="2" t="s">
        <v>59</v>
      </c>
      <c r="AD3" s="2" t="s">
        <v>60</v>
      </c>
      <c r="AE3" s="2" t="s">
        <v>61</v>
      </c>
      <c r="AF3" s="2" t="s">
        <v>74</v>
      </c>
      <c r="AG3" s="2" t="s">
        <v>75</v>
      </c>
      <c r="AH3" s="2" t="s">
        <v>76</v>
      </c>
      <c r="AI3" s="2"/>
    </row>
    <row r="4" spans="1:35" x14ac:dyDescent="0.25">
      <c r="A4">
        <v>3</v>
      </c>
      <c r="B4" s="1">
        <v>44414.625208333302</v>
      </c>
      <c r="C4" s="1">
        <v>44414.633136574099</v>
      </c>
      <c r="D4" s="2" t="s">
        <v>77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  <c r="J4" s="2" t="s">
        <v>82</v>
      </c>
      <c r="K4" s="2" t="s">
        <v>45</v>
      </c>
      <c r="L4" s="2" t="s">
        <v>67</v>
      </c>
      <c r="M4" s="2" t="s">
        <v>44</v>
      </c>
      <c r="N4" s="2" t="s">
        <v>45</v>
      </c>
      <c r="O4" s="2" t="s">
        <v>83</v>
      </c>
      <c r="P4" s="2" t="s">
        <v>84</v>
      </c>
      <c r="Q4" s="2" t="s">
        <v>85</v>
      </c>
      <c r="R4" s="2" t="s">
        <v>86</v>
      </c>
      <c r="S4" s="2" t="s">
        <v>87</v>
      </c>
      <c r="T4" s="2" t="s">
        <v>70</v>
      </c>
      <c r="U4" s="2" t="s">
        <v>45</v>
      </c>
      <c r="V4" s="2" t="s">
        <v>52</v>
      </c>
      <c r="W4" s="2" t="s">
        <v>53</v>
      </c>
      <c r="X4" s="2" t="s">
        <v>54</v>
      </c>
      <c r="Y4" s="2" t="s">
        <v>88</v>
      </c>
      <c r="Z4" s="2" t="s">
        <v>89</v>
      </c>
      <c r="AA4" s="2" t="s">
        <v>90</v>
      </c>
      <c r="AB4" s="2" t="s">
        <v>58</v>
      </c>
      <c r="AC4" s="2" t="s">
        <v>91</v>
      </c>
      <c r="AD4" s="2" t="s">
        <v>60</v>
      </c>
      <c r="AE4" s="2" t="s">
        <v>92</v>
      </c>
      <c r="AF4" s="2" t="s">
        <v>53</v>
      </c>
      <c r="AG4" s="2" t="s">
        <v>93</v>
      </c>
      <c r="AH4" s="2" t="s">
        <v>94</v>
      </c>
      <c r="AI4" s="2" t="s">
        <v>95</v>
      </c>
    </row>
    <row r="5" spans="1:35" x14ac:dyDescent="0.25">
      <c r="A5">
        <v>4</v>
      </c>
      <c r="B5" s="1">
        <v>44414.625347222202</v>
      </c>
      <c r="C5" s="1">
        <v>44414.637268518498</v>
      </c>
      <c r="D5" s="2" t="s">
        <v>96</v>
      </c>
      <c r="E5" s="2" t="s">
        <v>96</v>
      </c>
      <c r="F5" s="2" t="s">
        <v>37</v>
      </c>
      <c r="G5" s="2" t="s">
        <v>38</v>
      </c>
      <c r="H5" s="2" t="s">
        <v>39</v>
      </c>
      <c r="I5" s="2" t="s">
        <v>81</v>
      </c>
      <c r="J5" s="2" t="s">
        <v>66</v>
      </c>
      <c r="K5" s="2" t="s">
        <v>42</v>
      </c>
      <c r="L5" s="2" t="s">
        <v>67</v>
      </c>
      <c r="M5" s="2" t="s">
        <v>44</v>
      </c>
      <c r="N5" s="2" t="s">
        <v>42</v>
      </c>
      <c r="O5" s="2" t="s">
        <v>41</v>
      </c>
      <c r="P5" s="2" t="s">
        <v>47</v>
      </c>
      <c r="Q5" s="2" t="s">
        <v>85</v>
      </c>
      <c r="R5" s="2" t="s">
        <v>49</v>
      </c>
      <c r="S5" s="2" t="s">
        <v>97</v>
      </c>
      <c r="T5" s="2" t="s">
        <v>41</v>
      </c>
      <c r="U5" s="2" t="s">
        <v>45</v>
      </c>
      <c r="V5" s="2" t="s">
        <v>71</v>
      </c>
      <c r="W5" s="2" t="s">
        <v>98</v>
      </c>
      <c r="X5" s="2" t="s">
        <v>99</v>
      </c>
      <c r="Y5" s="2" t="s">
        <v>72</v>
      </c>
      <c r="Z5" s="2" t="s">
        <v>100</v>
      </c>
      <c r="AA5" s="2" t="s">
        <v>57</v>
      </c>
      <c r="AB5" s="2" t="s">
        <v>58</v>
      </c>
      <c r="AC5" s="2" t="s">
        <v>91</v>
      </c>
      <c r="AD5" s="2" t="s">
        <v>60</v>
      </c>
      <c r="AE5" s="2" t="s">
        <v>61</v>
      </c>
      <c r="AF5" s="2" t="s">
        <v>74</v>
      </c>
      <c r="AG5" s="2" t="s">
        <v>62</v>
      </c>
      <c r="AH5" s="2" t="s">
        <v>94</v>
      </c>
      <c r="AI5" s="2" t="s">
        <v>101</v>
      </c>
    </row>
    <row r="6" spans="1:35" x14ac:dyDescent="0.25">
      <c r="A6">
        <v>5</v>
      </c>
      <c r="B6" s="1">
        <v>44414.625706018502</v>
      </c>
      <c r="C6" s="1">
        <v>44414.637291666702</v>
      </c>
      <c r="D6" s="2" t="s">
        <v>102</v>
      </c>
      <c r="E6" s="2" t="s">
        <v>103</v>
      </c>
      <c r="F6" s="2" t="s">
        <v>104</v>
      </c>
      <c r="G6" s="2" t="s">
        <v>38</v>
      </c>
      <c r="H6" s="2" t="s">
        <v>80</v>
      </c>
      <c r="I6" s="2" t="s">
        <v>40</v>
      </c>
      <c r="J6" s="2" t="s">
        <v>82</v>
      </c>
      <c r="K6" s="2" t="s">
        <v>45</v>
      </c>
      <c r="L6" s="2" t="s">
        <v>67</v>
      </c>
      <c r="M6" s="2" t="s">
        <v>105</v>
      </c>
      <c r="N6" s="2" t="s">
        <v>45</v>
      </c>
      <c r="O6" s="2" t="s">
        <v>106</v>
      </c>
      <c r="P6" s="2" t="s">
        <v>107</v>
      </c>
      <c r="Q6" s="2" t="s">
        <v>108</v>
      </c>
      <c r="R6" s="2" t="s">
        <v>109</v>
      </c>
      <c r="S6" s="2" t="s">
        <v>87</v>
      </c>
      <c r="T6" s="2" t="s">
        <v>41</v>
      </c>
      <c r="U6" s="2" t="s">
        <v>45</v>
      </c>
      <c r="V6" s="2" t="s">
        <v>71</v>
      </c>
      <c r="W6" s="2" t="s">
        <v>53</v>
      </c>
      <c r="X6" s="2" t="s">
        <v>110</v>
      </c>
      <c r="Y6" s="2" t="s">
        <v>111</v>
      </c>
      <c r="Z6" s="2" t="s">
        <v>56</v>
      </c>
      <c r="AA6" s="2" t="s">
        <v>57</v>
      </c>
      <c r="AB6" s="2" t="s">
        <v>58</v>
      </c>
      <c r="AC6" s="2" t="s">
        <v>59</v>
      </c>
      <c r="AD6" s="2" t="s">
        <v>112</v>
      </c>
      <c r="AE6" s="2" t="s">
        <v>61</v>
      </c>
      <c r="AF6" s="2" t="s">
        <v>53</v>
      </c>
      <c r="AG6" s="2" t="s">
        <v>113</v>
      </c>
      <c r="AH6" s="2" t="s">
        <v>76</v>
      </c>
      <c r="AI6" s="2" t="s">
        <v>114</v>
      </c>
    </row>
    <row r="7" spans="1:35" x14ac:dyDescent="0.25">
      <c r="A7">
        <v>6</v>
      </c>
      <c r="B7" s="1">
        <v>44414.625289351803</v>
      </c>
      <c r="C7" s="1">
        <v>44414.638877314799</v>
      </c>
      <c r="D7" s="2" t="s">
        <v>115</v>
      </c>
      <c r="E7" s="2" t="s">
        <v>115</v>
      </c>
      <c r="F7" s="2" t="s">
        <v>37</v>
      </c>
      <c r="G7" s="2" t="s">
        <v>38</v>
      </c>
      <c r="H7" s="2" t="s">
        <v>39</v>
      </c>
      <c r="I7" s="2" t="s">
        <v>116</v>
      </c>
      <c r="J7" s="2" t="s">
        <v>82</v>
      </c>
      <c r="K7" s="2" t="s">
        <v>42</v>
      </c>
      <c r="L7" s="2" t="s">
        <v>117</v>
      </c>
      <c r="M7" s="2" t="s">
        <v>44</v>
      </c>
      <c r="N7" s="2" t="s">
        <v>45</v>
      </c>
      <c r="O7" s="2" t="s">
        <v>41</v>
      </c>
      <c r="P7" s="2" t="s">
        <v>47</v>
      </c>
      <c r="Q7" s="2" t="s">
        <v>85</v>
      </c>
      <c r="R7" s="2" t="s">
        <v>49</v>
      </c>
      <c r="S7" s="2" t="s">
        <v>118</v>
      </c>
      <c r="T7" s="2" t="s">
        <v>41</v>
      </c>
      <c r="U7" s="2" t="s">
        <v>45</v>
      </c>
      <c r="V7" s="2" t="s">
        <v>71</v>
      </c>
      <c r="W7" s="2" t="s">
        <v>53</v>
      </c>
      <c r="X7" s="2" t="s">
        <v>119</v>
      </c>
      <c r="Y7" s="2" t="s">
        <v>120</v>
      </c>
      <c r="Z7" s="2" t="s">
        <v>100</v>
      </c>
      <c r="AA7" s="2" t="s">
        <v>57</v>
      </c>
      <c r="AB7" s="2" t="s">
        <v>58</v>
      </c>
      <c r="AC7" s="2" t="s">
        <v>91</v>
      </c>
      <c r="AD7" s="2" t="s">
        <v>60</v>
      </c>
      <c r="AE7" s="2" t="s">
        <v>121</v>
      </c>
      <c r="AF7" s="2" t="s">
        <v>74</v>
      </c>
      <c r="AG7" s="2" t="s">
        <v>75</v>
      </c>
      <c r="AH7" s="2" t="s">
        <v>94</v>
      </c>
      <c r="AI7" s="2" t="s">
        <v>122</v>
      </c>
    </row>
    <row r="8" spans="1:35" x14ac:dyDescent="0.25">
      <c r="A8">
        <v>7</v>
      </c>
      <c r="B8" s="1">
        <v>44414.625231481499</v>
      </c>
      <c r="C8" s="1">
        <v>44414.639675925901</v>
      </c>
      <c r="D8" s="2" t="s">
        <v>123</v>
      </c>
      <c r="E8" s="2" t="s">
        <v>124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125</v>
      </c>
      <c r="K8" s="2" t="s">
        <v>42</v>
      </c>
      <c r="L8" s="2" t="s">
        <v>43</v>
      </c>
      <c r="M8" s="2" t="s">
        <v>105</v>
      </c>
      <c r="N8" s="2" t="s">
        <v>45</v>
      </c>
      <c r="O8" s="2" t="s">
        <v>46</v>
      </c>
      <c r="P8" s="2" t="s">
        <v>107</v>
      </c>
      <c r="Q8" s="2" t="s">
        <v>48</v>
      </c>
      <c r="R8" s="2" t="s">
        <v>49</v>
      </c>
      <c r="S8" s="2" t="s">
        <v>97</v>
      </c>
      <c r="T8" s="2" t="s">
        <v>41</v>
      </c>
      <c r="U8" s="2" t="s">
        <v>42</v>
      </c>
      <c r="V8" s="2" t="s">
        <v>71</v>
      </c>
      <c r="W8" s="2" t="s">
        <v>53</v>
      </c>
      <c r="X8" s="2" t="s">
        <v>119</v>
      </c>
      <c r="Y8" s="2" t="s">
        <v>126</v>
      </c>
      <c r="Z8" s="2" t="s">
        <v>56</v>
      </c>
      <c r="AA8" s="2" t="s">
        <v>57</v>
      </c>
      <c r="AB8" s="2" t="s">
        <v>127</v>
      </c>
      <c r="AC8" s="2" t="s">
        <v>91</v>
      </c>
      <c r="AD8" s="2" t="s">
        <v>60</v>
      </c>
      <c r="AE8" s="2" t="s">
        <v>61</v>
      </c>
      <c r="AF8" s="2" t="s">
        <v>74</v>
      </c>
      <c r="AG8" s="2" t="s">
        <v>75</v>
      </c>
      <c r="AH8" s="2" t="s">
        <v>94</v>
      </c>
      <c r="AI8" s="2"/>
    </row>
    <row r="9" spans="1:35" x14ac:dyDescent="0.25">
      <c r="A9">
        <v>8</v>
      </c>
      <c r="B9" s="1">
        <v>44414.625104166698</v>
      </c>
      <c r="C9" s="1">
        <v>44414.6403125</v>
      </c>
      <c r="D9" s="2" t="s">
        <v>128</v>
      </c>
      <c r="E9" s="2" t="s">
        <v>128</v>
      </c>
      <c r="F9" s="2" t="s">
        <v>37</v>
      </c>
      <c r="G9" s="2" t="s">
        <v>38</v>
      </c>
      <c r="H9" s="2" t="s">
        <v>39</v>
      </c>
      <c r="I9" s="2" t="s">
        <v>81</v>
      </c>
      <c r="J9" s="2" t="s">
        <v>82</v>
      </c>
      <c r="K9" s="2" t="s">
        <v>45</v>
      </c>
      <c r="L9" s="2" t="s">
        <v>117</v>
      </c>
      <c r="M9" s="2" t="s">
        <v>44</v>
      </c>
      <c r="N9" s="2" t="s">
        <v>45</v>
      </c>
      <c r="O9" s="2" t="s">
        <v>41</v>
      </c>
      <c r="P9" s="2" t="s">
        <v>47</v>
      </c>
      <c r="Q9" s="2" t="s">
        <v>85</v>
      </c>
      <c r="R9" s="2" t="s">
        <v>49</v>
      </c>
      <c r="S9" s="2" t="s">
        <v>118</v>
      </c>
      <c r="T9" s="2" t="s">
        <v>41</v>
      </c>
      <c r="U9" s="2" t="s">
        <v>45</v>
      </c>
      <c r="V9" s="2" t="s">
        <v>71</v>
      </c>
      <c r="W9" s="2" t="s">
        <v>53</v>
      </c>
      <c r="X9" s="2" t="s">
        <v>119</v>
      </c>
      <c r="Y9" s="2" t="s">
        <v>55</v>
      </c>
      <c r="Z9" s="2" t="s">
        <v>56</v>
      </c>
      <c r="AA9" s="2" t="s">
        <v>57</v>
      </c>
      <c r="AB9" s="2" t="s">
        <v>58</v>
      </c>
      <c r="AC9" s="2" t="s">
        <v>91</v>
      </c>
      <c r="AD9" s="2" t="s">
        <v>60</v>
      </c>
      <c r="AE9" s="2" t="s">
        <v>129</v>
      </c>
      <c r="AF9" s="2" t="s">
        <v>74</v>
      </c>
      <c r="AG9" s="2" t="s">
        <v>93</v>
      </c>
      <c r="AH9" s="2" t="s">
        <v>130</v>
      </c>
      <c r="AI9" s="2" t="s">
        <v>131</v>
      </c>
    </row>
    <row r="10" spans="1:35" x14ac:dyDescent="0.25">
      <c r="A10">
        <v>9</v>
      </c>
      <c r="B10" s="1">
        <v>44414.625115740702</v>
      </c>
      <c r="C10" s="1">
        <v>44414.6436805556</v>
      </c>
      <c r="D10" s="2" t="s">
        <v>132</v>
      </c>
      <c r="E10" s="2" t="s">
        <v>132</v>
      </c>
      <c r="F10" s="2" t="s">
        <v>37</v>
      </c>
      <c r="G10" s="2" t="s">
        <v>38</v>
      </c>
      <c r="H10" s="2" t="s">
        <v>39</v>
      </c>
      <c r="I10" s="2" t="s">
        <v>133</v>
      </c>
      <c r="J10" s="2" t="s">
        <v>82</v>
      </c>
      <c r="K10" s="2" t="s">
        <v>45</v>
      </c>
      <c r="L10" s="2" t="s">
        <v>43</v>
      </c>
      <c r="M10" s="2"/>
      <c r="N10" s="2" t="s">
        <v>42</v>
      </c>
      <c r="O10" s="2" t="s">
        <v>46</v>
      </c>
      <c r="P10" s="2" t="s">
        <v>68</v>
      </c>
      <c r="Q10" s="2" t="s">
        <v>48</v>
      </c>
      <c r="R10" s="2" t="s">
        <v>49</v>
      </c>
      <c r="S10" s="2" t="s">
        <v>118</v>
      </c>
      <c r="T10" s="2" t="s">
        <v>41</v>
      </c>
      <c r="U10" s="2" t="s">
        <v>45</v>
      </c>
      <c r="V10" s="2" t="s">
        <v>134</v>
      </c>
      <c r="W10" s="2" t="s">
        <v>53</v>
      </c>
      <c r="X10" s="2" t="s">
        <v>110</v>
      </c>
      <c r="Y10" s="2" t="s">
        <v>72</v>
      </c>
      <c r="Z10" s="2" t="s">
        <v>73</v>
      </c>
      <c r="AA10" s="2" t="s">
        <v>57</v>
      </c>
      <c r="AB10" s="2" t="s">
        <v>135</v>
      </c>
      <c r="AC10" s="2" t="s">
        <v>136</v>
      </c>
      <c r="AD10" s="2" t="s">
        <v>137</v>
      </c>
      <c r="AE10" s="2" t="s">
        <v>61</v>
      </c>
      <c r="AF10" s="2" t="s">
        <v>53</v>
      </c>
      <c r="AG10" s="2" t="s">
        <v>62</v>
      </c>
      <c r="AH10" s="2" t="s">
        <v>130</v>
      </c>
      <c r="AI10" s="2" t="s">
        <v>138</v>
      </c>
    </row>
    <row r="11" spans="1:35" x14ac:dyDescent="0.25">
      <c r="A11">
        <v>10</v>
      </c>
      <c r="B11" s="1">
        <v>44414.625196759298</v>
      </c>
      <c r="C11" s="1">
        <v>44414.644479166702</v>
      </c>
      <c r="D11" s="2" t="s">
        <v>139</v>
      </c>
      <c r="E11" s="2" t="s">
        <v>139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66</v>
      </c>
      <c r="K11" s="2" t="s">
        <v>42</v>
      </c>
      <c r="L11" s="2" t="s">
        <v>117</v>
      </c>
      <c r="M11" s="2" t="s">
        <v>140</v>
      </c>
      <c r="N11" s="2" t="s">
        <v>42</v>
      </c>
      <c r="O11" s="2" t="s">
        <v>41</v>
      </c>
      <c r="P11" s="2" t="s">
        <v>107</v>
      </c>
      <c r="Q11" s="2" t="s">
        <v>85</v>
      </c>
      <c r="R11" s="2" t="s">
        <v>49</v>
      </c>
      <c r="S11" s="2" t="s">
        <v>141</v>
      </c>
      <c r="T11" s="2" t="s">
        <v>41</v>
      </c>
      <c r="U11" s="2" t="s">
        <v>45</v>
      </c>
      <c r="V11" s="2" t="s">
        <v>71</v>
      </c>
      <c r="W11" s="2" t="s">
        <v>98</v>
      </c>
      <c r="X11" s="2" t="s">
        <v>119</v>
      </c>
      <c r="Y11" s="2" t="s">
        <v>55</v>
      </c>
      <c r="Z11" s="2" t="s">
        <v>100</v>
      </c>
      <c r="AA11" s="2" t="s">
        <v>57</v>
      </c>
      <c r="AB11" s="2" t="s">
        <v>135</v>
      </c>
      <c r="AC11" s="2" t="s">
        <v>91</v>
      </c>
      <c r="AD11" s="2" t="s">
        <v>60</v>
      </c>
      <c r="AE11" s="2" t="s">
        <v>61</v>
      </c>
      <c r="AF11" s="2" t="s">
        <v>74</v>
      </c>
      <c r="AG11" s="2" t="s">
        <v>75</v>
      </c>
      <c r="AH11" s="2" t="s">
        <v>94</v>
      </c>
      <c r="AI11" s="2" t="s">
        <v>142</v>
      </c>
    </row>
    <row r="12" spans="1:35" x14ac:dyDescent="0.25">
      <c r="A12">
        <v>11</v>
      </c>
      <c r="B12" s="1">
        <v>44414.6253587963</v>
      </c>
      <c r="C12" s="1">
        <v>44414.645011574103</v>
      </c>
      <c r="D12" s="2" t="s">
        <v>143</v>
      </c>
      <c r="E12" s="2" t="s">
        <v>144</v>
      </c>
      <c r="F12" s="2" t="s">
        <v>37</v>
      </c>
      <c r="G12" s="2" t="s">
        <v>38</v>
      </c>
      <c r="H12" s="2" t="s">
        <v>39</v>
      </c>
      <c r="I12" s="2" t="s">
        <v>116</v>
      </c>
      <c r="J12" s="2" t="s">
        <v>82</v>
      </c>
      <c r="K12" s="2" t="s">
        <v>42</v>
      </c>
      <c r="L12" s="2" t="s">
        <v>117</v>
      </c>
      <c r="M12" s="2" t="s">
        <v>44</v>
      </c>
      <c r="N12" s="2" t="s">
        <v>42</v>
      </c>
      <c r="O12" s="2" t="s">
        <v>46</v>
      </c>
      <c r="P12" s="2" t="s">
        <v>47</v>
      </c>
      <c r="Q12" s="2" t="s">
        <v>85</v>
      </c>
      <c r="R12" s="2" t="s">
        <v>49</v>
      </c>
      <c r="S12" s="2" t="s">
        <v>145</v>
      </c>
      <c r="T12" s="2" t="s">
        <v>41</v>
      </c>
      <c r="U12" s="2" t="s">
        <v>42</v>
      </c>
      <c r="V12" s="2" t="s">
        <v>71</v>
      </c>
      <c r="W12" s="2" t="s">
        <v>53</v>
      </c>
      <c r="X12" s="2" t="s">
        <v>119</v>
      </c>
      <c r="Y12" s="2" t="s">
        <v>120</v>
      </c>
      <c r="Z12" s="2" t="s">
        <v>56</v>
      </c>
      <c r="AA12" s="2" t="s">
        <v>57</v>
      </c>
      <c r="AB12" s="2" t="s">
        <v>58</v>
      </c>
      <c r="AC12" s="2" t="s">
        <v>91</v>
      </c>
      <c r="AD12" s="2" t="s">
        <v>60</v>
      </c>
      <c r="AE12" s="2" t="s">
        <v>129</v>
      </c>
      <c r="AF12" s="2" t="s">
        <v>74</v>
      </c>
      <c r="AG12" s="2" t="s">
        <v>62</v>
      </c>
      <c r="AH12" s="2" t="s">
        <v>94</v>
      </c>
      <c r="AI12" s="2" t="s">
        <v>146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42B-E84A-4043-B0BA-28D956907602}">
  <dimension ref="A1:H13"/>
  <sheetViews>
    <sheetView tabSelected="1" workbookViewId="0"/>
  </sheetViews>
  <sheetFormatPr defaultRowHeight="15" x14ac:dyDescent="0.25"/>
  <cols>
    <col min="1" max="1" width="21.140625" bestFit="1" customWidth="1"/>
    <col min="2" max="2" width="15.5703125" customWidth="1"/>
  </cols>
  <sheetData>
    <row r="1" spans="1:8" x14ac:dyDescent="0.25">
      <c r="B1" s="6" t="s">
        <v>155</v>
      </c>
      <c r="C1" s="6"/>
      <c r="D1" s="7" t="s">
        <v>156</v>
      </c>
      <c r="E1" s="7"/>
      <c r="F1" s="7" t="s">
        <v>157</v>
      </c>
      <c r="G1" s="7"/>
      <c r="H1" s="8" t="s">
        <v>158</v>
      </c>
    </row>
    <row r="2" spans="1:8" x14ac:dyDescent="0.25">
      <c r="A2" s="5" t="s">
        <v>4</v>
      </c>
      <c r="B2" s="5" t="s">
        <v>147</v>
      </c>
      <c r="C2" s="5" t="s">
        <v>154</v>
      </c>
      <c r="D2" s="5" t="s">
        <v>147</v>
      </c>
      <c r="E2" s="5" t="s">
        <v>154</v>
      </c>
      <c r="F2" s="5" t="s">
        <v>147</v>
      </c>
      <c r="G2" s="5" t="s">
        <v>154</v>
      </c>
      <c r="H2" s="5" t="s">
        <v>154</v>
      </c>
    </row>
    <row r="3" spans="1:8" x14ac:dyDescent="0.25">
      <c r="A3" s="3" t="s">
        <v>36</v>
      </c>
      <c r="B3">
        <f>3+4+2+2+4+0</f>
        <v>15</v>
      </c>
      <c r="C3">
        <f>(B3/30)*100</f>
        <v>50</v>
      </c>
      <c r="E3">
        <f>(D3/25)*100</f>
        <v>0</v>
      </c>
      <c r="G3">
        <f>(F3/50)*100</f>
        <v>0</v>
      </c>
      <c r="H3">
        <f>(C3*20%)+(E3*40%)+(G3*40%)</f>
        <v>10</v>
      </c>
    </row>
    <row r="4" spans="1:8" x14ac:dyDescent="0.25">
      <c r="A4" s="4" t="s">
        <v>65</v>
      </c>
      <c r="B4">
        <f>3+3+1+2+2+3</f>
        <v>14</v>
      </c>
      <c r="C4">
        <f t="shared" ref="C4:C13" si="0">(B4/30)*100</f>
        <v>46.666666666666664</v>
      </c>
      <c r="E4">
        <f t="shared" ref="E4:E13" si="1">(D4/25)*100</f>
        <v>0</v>
      </c>
      <c r="G4">
        <f t="shared" ref="G4:G13" si="2">(F4/50)*100</f>
        <v>0</v>
      </c>
      <c r="H4">
        <f t="shared" ref="H4:H13" si="3">(C4*20%)+(E4*40%)+(G4*40%)</f>
        <v>9.3333333333333339</v>
      </c>
    </row>
    <row r="5" spans="1:8" x14ac:dyDescent="0.25">
      <c r="A5" s="3" t="s">
        <v>148</v>
      </c>
      <c r="B5">
        <f>1+2+1+2+1+3</f>
        <v>10</v>
      </c>
      <c r="C5">
        <f t="shared" si="0"/>
        <v>33.333333333333329</v>
      </c>
      <c r="E5">
        <f t="shared" si="1"/>
        <v>0</v>
      </c>
      <c r="G5">
        <f t="shared" si="2"/>
        <v>0</v>
      </c>
      <c r="H5">
        <f t="shared" si="3"/>
        <v>6.6666666666666661</v>
      </c>
    </row>
    <row r="6" spans="1:8" x14ac:dyDescent="0.25">
      <c r="A6" s="4" t="s">
        <v>149</v>
      </c>
      <c r="B6">
        <f>3+3+4+2+3+5</f>
        <v>20</v>
      </c>
      <c r="C6">
        <f t="shared" si="0"/>
        <v>66.666666666666657</v>
      </c>
      <c r="D6">
        <f>3+0+0</f>
        <v>3</v>
      </c>
      <c r="E6">
        <f t="shared" si="1"/>
        <v>12</v>
      </c>
      <c r="G6">
        <f t="shared" si="2"/>
        <v>0</v>
      </c>
      <c r="H6">
        <f t="shared" si="3"/>
        <v>18.133333333333333</v>
      </c>
    </row>
    <row r="7" spans="1:8" x14ac:dyDescent="0.25">
      <c r="A7" s="3" t="s">
        <v>103</v>
      </c>
      <c r="B7">
        <f>1+1+1+3+1+3</f>
        <v>10</v>
      </c>
      <c r="C7">
        <f t="shared" si="0"/>
        <v>33.333333333333329</v>
      </c>
      <c r="E7">
        <f t="shared" si="1"/>
        <v>0</v>
      </c>
      <c r="G7">
        <f t="shared" si="2"/>
        <v>0</v>
      </c>
      <c r="H7">
        <f t="shared" si="3"/>
        <v>6.6666666666666661</v>
      </c>
    </row>
    <row r="8" spans="1:8" x14ac:dyDescent="0.25">
      <c r="A8" s="4" t="s">
        <v>150</v>
      </c>
      <c r="B8">
        <f>5+4+5+4+4+5</f>
        <v>27</v>
      </c>
      <c r="C8">
        <f t="shared" si="0"/>
        <v>90</v>
      </c>
      <c r="D8">
        <f>5+9+8</f>
        <v>22</v>
      </c>
      <c r="E8">
        <f t="shared" si="1"/>
        <v>88</v>
      </c>
      <c r="F8">
        <v>43</v>
      </c>
      <c r="G8">
        <f t="shared" si="2"/>
        <v>86</v>
      </c>
      <c r="H8">
        <f t="shared" si="3"/>
        <v>87.6</v>
      </c>
    </row>
    <row r="9" spans="1:8" x14ac:dyDescent="0.25">
      <c r="A9" s="3" t="s">
        <v>124</v>
      </c>
      <c r="B9">
        <f>3+2+2+2+3+4</f>
        <v>16</v>
      </c>
      <c r="C9">
        <f t="shared" si="0"/>
        <v>53.333333333333336</v>
      </c>
      <c r="E9">
        <f t="shared" si="1"/>
        <v>0</v>
      </c>
      <c r="G9">
        <f t="shared" si="2"/>
        <v>0</v>
      </c>
      <c r="H9">
        <f t="shared" si="3"/>
        <v>10.666666666666668</v>
      </c>
    </row>
    <row r="10" spans="1:8" x14ac:dyDescent="0.25">
      <c r="A10" s="4" t="s">
        <v>151</v>
      </c>
      <c r="B10">
        <f>4+3+5+2+3+5</f>
        <v>22</v>
      </c>
      <c r="C10">
        <f t="shared" si="0"/>
        <v>73.333333333333329</v>
      </c>
      <c r="D10">
        <f>2+7+7</f>
        <v>16</v>
      </c>
      <c r="E10">
        <f t="shared" si="1"/>
        <v>64</v>
      </c>
      <c r="F10">
        <v>39</v>
      </c>
      <c r="G10">
        <f t="shared" si="2"/>
        <v>78</v>
      </c>
      <c r="H10">
        <f t="shared" si="3"/>
        <v>71.466666666666669</v>
      </c>
    </row>
    <row r="11" spans="1:8" x14ac:dyDescent="0.25">
      <c r="A11" s="3" t="s">
        <v>152</v>
      </c>
      <c r="B11">
        <f>4+1+3+1+0+2</f>
        <v>11</v>
      </c>
      <c r="C11">
        <f t="shared" si="0"/>
        <v>36.666666666666664</v>
      </c>
      <c r="E11">
        <f t="shared" si="1"/>
        <v>0</v>
      </c>
      <c r="G11">
        <f t="shared" si="2"/>
        <v>0</v>
      </c>
      <c r="H11">
        <f t="shared" si="3"/>
        <v>7.333333333333333</v>
      </c>
    </row>
    <row r="12" spans="1:8" x14ac:dyDescent="0.25">
      <c r="A12" s="4" t="s">
        <v>153</v>
      </c>
      <c r="B12">
        <f>3+2+3+3+4+3</f>
        <v>18</v>
      </c>
      <c r="C12">
        <f t="shared" si="0"/>
        <v>60</v>
      </c>
      <c r="D12">
        <f>2+0+0</f>
        <v>2</v>
      </c>
      <c r="E12">
        <f t="shared" si="1"/>
        <v>8</v>
      </c>
      <c r="G12">
        <f t="shared" si="2"/>
        <v>0</v>
      </c>
      <c r="H12">
        <f t="shared" si="3"/>
        <v>15.2</v>
      </c>
    </row>
    <row r="13" spans="1:8" x14ac:dyDescent="0.25">
      <c r="A13" s="3" t="s">
        <v>144</v>
      </c>
      <c r="B13">
        <f>5+2+5+3+3+5</f>
        <v>23</v>
      </c>
      <c r="C13">
        <f t="shared" si="0"/>
        <v>76.666666666666671</v>
      </c>
      <c r="D13">
        <f>5+9+9</f>
        <v>23</v>
      </c>
      <c r="E13">
        <f t="shared" si="1"/>
        <v>92</v>
      </c>
      <c r="F13">
        <v>46</v>
      </c>
      <c r="G13">
        <f t="shared" si="2"/>
        <v>92</v>
      </c>
      <c r="H13">
        <f t="shared" si="3"/>
        <v>88.933333333333337</v>
      </c>
    </row>
  </sheetData>
  <mergeCells count="3">
    <mergeCell ref="B1:C1"/>
    <mergeCell ref="D1:E1"/>
    <mergeCell ref="F1:G1"/>
  </mergeCells>
  <conditionalFormatting sqref="C3:C13">
    <cfRule type="cellIs" dxfId="4" priority="5" operator="greaterThanOrEqual">
      <formula>60</formula>
    </cfRule>
  </conditionalFormatting>
  <conditionalFormatting sqref="E3:E13">
    <cfRule type="cellIs" dxfId="3" priority="4" operator="greaterThan">
      <formula>60</formula>
    </cfRule>
  </conditionalFormatting>
  <conditionalFormatting sqref="G3:G13">
    <cfRule type="cellIs" dxfId="2" priority="3" operator="greaterThan">
      <formula>60</formula>
    </cfRule>
  </conditionalFormatting>
  <conditionalFormatting sqref="H3:H13">
    <cfRule type="cellIs" dxfId="1" priority="1" operator="greaterThan">
      <formula>60</formula>
    </cfRule>
    <cfRule type="cellIs" dxfId="0" priority="2" operator="greaterThan"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Manjunatha K</dc:creator>
  <cp:lastModifiedBy>Manjunatha K</cp:lastModifiedBy>
  <dcterms:created xsi:type="dcterms:W3CDTF">2021-08-08T21:37:37Z</dcterms:created>
  <dcterms:modified xsi:type="dcterms:W3CDTF">2021-08-25T06:24:24Z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